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Setback Calc" sheetId="3" state="visible" r:id="rId5"/>
    <sheet name="Height &amp; FAR Check" sheetId="4" state="visible" r:id="rId6"/>
    <sheet name="Hotel Program" sheetId="5" state="visible" r:id="rId7"/>
    <sheet name="Feasibility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<sst xmlns="http://schemas.openxmlformats.org/spreadsheetml/2006/main" count="207" uniqueCount="195">
  <si>
    <t xml:space="preserve">HOTEL FEASIBILITY CHECK  |  NBC 2016 (Part 3 &amp; Part 4) based  |  60-Key Prototype Model</t>
  </si>
  <si>
    <t xml:space="preserve">Purpose</t>
  </si>
  <si>
    <t xml:space="preserve">Given a Site Area and permissible FAR, this workbook checks setbacks, achievable height, ground coverage and buildable area (BUA), then plans a hotel keys-count using a 3.5m x 7m room module, 2 cores (1 main + 1 service), 2 passenger lifts + 1 service lift (rear-located), and validates the design against a BUA/Key target of 380-400 sft.</t>
  </si>
  <si>
    <t xml:space="preserve">How to use</t>
  </si>
  <si>
    <t xml:space="preserve">1.  Go to the 'Inputs' sheet (yellow cells only) — enter Site Area, plot dimensions/shape, road width, FAR, target keys, etc.</t>
  </si>
  <si>
    <t xml:space="preserve">2.  'Setback Calc' auto-derives front/rear/side setbacks from the NBC 2016 Part-3 baseline table + height-linked increment rule, and computes the buildable footprint for your plot shape.</t>
  </si>
  <si>
    <t xml:space="preserve">3.  'Height &amp; FAR Check' compares your proposed height against the NBC road-width height rule and your FAR-permitted BUA.</t>
  </si>
  <si>
    <t xml:space="preserve">4.  'Hotel Program' plans keys/floor from the floor plate, room module, and core areas, and builds up Guestroom + FOH + BOH BUA.</t>
  </si>
  <si>
    <t xml:space="preserve">5.  'Feasibility Summary' gives a one-page GO / REVIEW / NO-GO dashboard.</t>
  </si>
  <si>
    <t xml:space="preserve">Important caveat</t>
  </si>
  <si>
    <t xml:space="preserve">NBC 2016 is a MODEL / advisory code (Part 3 = Development Control Rules). It becomes legally binding only when adopted into your State/local Building Bye-Laws or Development Control Regulations (e.g. UDCPR-Maharashtra, TNCDBR-Tamil Nadu, Karnataka BBMP/KMC, Delhi UBBL, etc.), which frequently set stricter or different setback, FAR, parking, and height-vs-road-width values than the NBC baseline. All setback/FAR/coverage figures in this sheet are indicative baselines (blue, editable, sourced) — replace them with your local sanctioning authority's DCR values before using this for actual submission or investment decisions. Fire-access, structural, MEP and lift-code (Part 4, Part 8) requirements are simplified as area allowances here and must be verified against detailed NBC Part 4 / Part 8 / relevant IS codes and a licensed architect's design.</t>
  </si>
  <si>
    <t xml:space="preserve">Colour key</t>
  </si>
  <si>
    <t xml:space="preserve">Blue text / yellow fill = editable input</t>
  </si>
  <si>
    <t xml:space="preserve">Black text = formula (do not overwrite)</t>
  </si>
  <si>
    <t xml:space="preserve">Green text = link pulled from another sheet</t>
  </si>
  <si>
    <t xml:space="preserve">Green fill = check passes  /  Red fill = check fails  /  Amber = borderline, review</t>
  </si>
  <si>
    <t xml:space="preserve">Sheets</t>
  </si>
  <si>
    <t xml:space="preserve">• Inputs</t>
  </si>
  <si>
    <t xml:space="preserve">• Setback Calc</t>
  </si>
  <si>
    <t xml:space="preserve">• Height &amp; FAR Check</t>
  </si>
  <si>
    <t xml:space="preserve">• Hotel Program</t>
  </si>
  <si>
    <t xml:space="preserve">• Feasibility Summary</t>
  </si>
  <si>
    <t xml:space="preserve">INPUTS  (edit yellow cells only)</t>
  </si>
  <si>
    <t xml:space="preserve">1. Site Details</t>
  </si>
  <si>
    <t xml:space="preserve">Site Area (sqft)</t>
  </si>
  <si>
    <t xml:space="preserve">Total plot/site area as per title deed / survey.</t>
  </si>
  <si>
    <t xml:space="preserve">Site Area (sqm) — auto</t>
  </si>
  <si>
    <t xml:space="preserve">Plot Shape</t>
  </si>
  <si>
    <t xml:space="preserve">Rectangular</t>
  </si>
  <si>
    <t xml:space="preserve">Irregular plot: enter a Shape Efficiency Factor below instead of exact geometry.</t>
  </si>
  <si>
    <t xml:space="preserve">Plot Length (ft) — along depth</t>
  </si>
  <si>
    <t xml:space="preserve">Plot Width / Frontage (ft) — along road</t>
  </si>
  <si>
    <t xml:space="preserve">For Rectangular/Corner plots. Length x Width should ≈ Site Area (sqft).</t>
  </si>
  <si>
    <t xml:space="preserve">Shape Efficiency Factor (0-1)</t>
  </si>
  <si>
    <t xml:space="preserve">Only used if Plot Shape = Irregular. De-rates the notional rectangle footprint for odd/angular boundaries. Use 1.00 for regular sites.</t>
  </si>
  <si>
    <t xml:space="preserve">Road Width — main frontage (m)</t>
  </si>
  <si>
    <t xml:space="preserve">Road Width — 2nd frontage, if Corner Plot (m)</t>
  </si>
  <si>
    <t xml:space="preserve">Ignored unless Plot Shape = Corner Plot.</t>
  </si>
  <si>
    <t xml:space="preserve">2. Development Control Parameters</t>
  </si>
  <si>
    <t xml:space="preserve">Permissible FAR / FSI</t>
  </si>
  <si>
    <t xml:space="preserve">Verify with local Development Authority. NBC gives only indicative ranges (1.0-3.5 residential, higher commercial/TOD).</t>
  </si>
  <si>
    <t xml:space="preserve">Max Ground Coverage permitted (%)</t>
  </si>
  <si>
    <t xml:space="preserve">Target no. of floors (incl. ground)</t>
  </si>
  <si>
    <t xml:space="preserve">Floor-to-floor ht. — guestroom floors (m)</t>
  </si>
  <si>
    <t xml:space="preserve">Ground/Lobby floor height (m)</t>
  </si>
  <si>
    <t xml:space="preserve">3. Hotel Program Inputs</t>
  </si>
  <si>
    <t xml:space="preserve">Target Keys (Guestrooms)</t>
  </si>
  <si>
    <t xml:space="preserve">Room Module — Width (m)</t>
  </si>
  <si>
    <t xml:space="preserve">Room Module — Depth (m)</t>
  </si>
  <si>
    <t xml:space="preserve">No. of Cores (minimum)</t>
  </si>
  <si>
    <t xml:space="preserve">1 Main core (2 passenger lifts + stair + lobby) + 1 Service core (1 service lift + stair), located at rear.</t>
  </si>
  <si>
    <t xml:space="preserve">Main Core area — 2 pass. lifts + stair + lobby (sft)</t>
  </si>
  <si>
    <t xml:space="preserve">Service Core area — 1 service lift + stair (sft), rear</t>
  </si>
  <si>
    <t xml:space="preserve">Net-to-Gross Efficiency — guestroom floor (%)</t>
  </si>
  <si>
    <t xml:space="preserve">Room carpet ÷ Efficiency = Gross BUA/key. Tune this to land in the 380-400 sft/key band.</t>
  </si>
  <si>
    <t xml:space="preserve">FOH area per 60 keys (sft)</t>
  </si>
  <si>
    <t xml:space="preserve">BOH area per 60 keys (sft)</t>
  </si>
  <si>
    <t xml:space="preserve">BOH Location</t>
  </si>
  <si>
    <t xml:space="preserve">Basement</t>
  </si>
  <si>
    <t xml:space="preserve">Count BOH in FAR BUA? (Y/N)</t>
  </si>
  <si>
    <t xml:space="preserve">N</t>
  </si>
  <si>
    <t xml:space="preserve">Most State DCRs exclude basements used for services/parking from FAR — verify locally. Set 'Y' if your local DCR counts it.</t>
  </si>
  <si>
    <t xml:space="preserve">Target BUA/Key — low (sft)</t>
  </si>
  <si>
    <t xml:space="preserve">Target BUA/Key — high (sft)</t>
  </si>
  <si>
    <t xml:space="preserve">SETBACK CALCULATION  (NBC 2016 Part-3 baseline + height/road-width rules)</t>
  </si>
  <si>
    <t xml:space="preserve">1. NBC 2016 Part-3 Baseline Setback Table (indicative — edit per local DCR)</t>
  </si>
  <si>
    <t xml:space="preserve">Plot Area Band (sqm)</t>
  </si>
  <si>
    <t xml:space="preserve">Front (m)</t>
  </si>
  <si>
    <t xml:space="preserve">Rear (m)</t>
  </si>
  <si>
    <t xml:space="preserve">Side (m)</t>
  </si>
  <si>
    <t xml:space="preserve">Up to 100</t>
  </si>
  <si>
    <t xml:space="preserve">Source: NBC 2016 Part 3 baseline bands commonly reproduced in State Model Building Bye-Laws (2016). ALWAYS replace with your local Development Authority's DCR table — state values often differ (e.g. Bangalore keys front setback to road width in steps of 3/6/9/12/18/24 m; Mumbai UDCPR has its own side-setback formula).</t>
  </si>
  <si>
    <t xml:space="preserve">100 - 150</t>
  </si>
  <si>
    <t xml:space="preserve">150 - 300</t>
  </si>
  <si>
    <t xml:space="preserve">300 - 500</t>
  </si>
  <si>
    <t xml:space="preserve">500 - 1000</t>
  </si>
  <si>
    <t xml:space="preserve">1000 - 2000</t>
  </si>
  <si>
    <t xml:space="preserve">2000 - 4000</t>
  </si>
  <si>
    <t xml:space="preserve">Above 4000</t>
  </si>
  <si>
    <t xml:space="preserve">2. Baseline Setback Lookup (by your Site Area)</t>
  </si>
  <si>
    <t xml:space="preserve">Applicable band</t>
  </si>
  <si>
    <t xml:space="preserve">Baseline Front setback (m)</t>
  </si>
  <si>
    <t xml:space="preserve">Baseline Rear setback (m)</t>
  </si>
  <si>
    <t xml:space="preserve">Baseline Side setback (m)</t>
  </si>
  <si>
    <t xml:space="preserve">3. Height-linked Increment (NBC 2016 Pt.3: +0.5m to side &amp; rear per storey above 4)</t>
  </si>
  <si>
    <t xml:space="preserve">Storeys above 4 (from Target Floors)</t>
  </si>
  <si>
    <t xml:space="preserve">Increment to Rear &amp; Side setback (m)</t>
  </si>
  <si>
    <t xml:space="preserve">Applies above 4 storeys; most State DCRs adopt some version of this progression — confirm local multiplier.</t>
  </si>
  <si>
    <t xml:space="preserve">4. Adopted Setbacks (Baseline + Increment, editable override in col D)</t>
  </si>
  <si>
    <t xml:space="preserve">Computed (m)</t>
  </si>
  <si>
    <t xml:space="preserve">Adopted Override — leave blank to use Computed</t>
  </si>
  <si>
    <t xml:space="preserve">Adopted (ft, used downstream)</t>
  </si>
  <si>
    <t xml:space="preserve">Front setback</t>
  </si>
  <si>
    <t xml:space="preserve">Rear setback</t>
  </si>
  <si>
    <t xml:space="preserve">Side setback (each side)</t>
  </si>
  <si>
    <t xml:space="preserve">Rule check: minimum side setback of 1.2 m required wherever side rooms have habitable openings (NBC Part 4, fire-access). Adopted side setback above already exceeds this at all but the smallest plot bands — verify for your plot band.</t>
  </si>
  <si>
    <t xml:space="preserve">5. Buildable Footprint (depends on Plot Shape)</t>
  </si>
  <si>
    <t xml:space="preserve">Frontages requiring Front setback</t>
  </si>
  <si>
    <t xml:space="preserve">Notional rectangle footprint (sft)</t>
  </si>
  <si>
    <t xml:space="preserve">Depth reduced by front+rear; width reduced by 2 side setbacks. Corner plot: 2nd frontage also loses a front setback instead of a side setback.</t>
  </si>
  <si>
    <t xml:space="preserve">Shape factor applied</t>
  </si>
  <si>
    <t xml:space="preserve">Buildable Footprint / Max Floor Plate (sft)</t>
  </si>
  <si>
    <t xml:space="preserve">Ground Coverage achieved (%)</t>
  </si>
  <si>
    <t xml:space="preserve">Ground Coverage Check</t>
  </si>
  <si>
    <t xml:space="preserve">HEIGHT &amp; FAR CHECK</t>
  </si>
  <si>
    <t xml:space="preserve">1. Height Rule Check  (NBC 2016 Pt.3: Height ≤ (Road Width + Front Setback) x 1.5)</t>
  </si>
  <si>
    <t xml:space="preserve">Road width used (main frontage, m)</t>
  </si>
  <si>
    <t xml:space="preserve">Front setback adopted (m)</t>
  </si>
  <si>
    <t xml:space="preserve">Max Permissible Building Height (m)</t>
  </si>
  <si>
    <t xml:space="preserve">Applies to residential per NBC baseline; many DCRs extend a similar linkage to other occupancies, and additionally cap absolute height (e.g. High Rise threshold ~15m+ triggers NBC Part 4 fire norms — sprinklers, refuge floors, fire lift). Verify High-Rise classification with local Fire NOC authority.</t>
  </si>
  <si>
    <t xml:space="preserve">Proposed Height — guestroom floors (m)</t>
  </si>
  <si>
    <t xml:space="preserve">Formula: (Target floors - 1 ground) x guestroom floor-to-floor + Ground/Lobby floor height.</t>
  </si>
  <si>
    <t xml:space="preserve">Height Check</t>
  </si>
  <si>
    <t xml:space="preserve">Achievable Floors under Height Rule</t>
  </si>
  <si>
    <t xml:space="preserve">2. FAR / BUA Check</t>
  </si>
  <si>
    <t xml:space="preserve">Site Area (sft)</t>
  </si>
  <si>
    <t xml:space="preserve">Permissible FAR</t>
  </si>
  <si>
    <t xml:space="preserve">Max Permissible BUA — FAR area (sft)</t>
  </si>
  <si>
    <t xml:space="preserve">Buildable Footprint / Floor Plate (sft)</t>
  </si>
  <si>
    <t xml:space="preserve">Achievable Floors under FAR (Max FAR BUA ÷ Floor Plate)</t>
  </si>
  <si>
    <t xml:space="preserve">Indicative only — assumes every floor uses the full floor plate at 100% (a real scheme will taper/step back at upper floors, add refuge floor, terrace M&amp;E, etc.)</t>
  </si>
  <si>
    <t xml:space="preserve">Governing Achievable Floors (lower of Height-rule &amp; FAR)</t>
  </si>
  <si>
    <t xml:space="preserve">Target Floors (from Inputs)</t>
  </si>
  <si>
    <t xml:space="preserve">Floors Check</t>
  </si>
  <si>
    <t xml:space="preserve">HOTEL PROGRAM  |  Room Module, Cores/Lifts, Keys, FOH/BOH, BUA</t>
  </si>
  <si>
    <t xml:space="preserve">1. Room Module &amp; Gross Area per Key</t>
  </si>
  <si>
    <t xml:space="preserve">Room Module (m)</t>
  </si>
  <si>
    <t xml:space="preserve">Room Net (carpet) Area (sqm)</t>
  </si>
  <si>
    <t xml:space="preserve">Room Net (carpet) Area (sft)</t>
  </si>
  <si>
    <t xml:space="preserve">Net-to-Gross Efficiency (corridor+core+wall load)</t>
  </si>
  <si>
    <t xml:space="preserve">Gross BUA per Key (sft)</t>
  </si>
  <si>
    <t xml:space="preserve">This is the all-in BUA/key incl. share of corridor, shafts, walls &amp; cores - compare against the 380-400 sft/key target below.</t>
  </si>
  <si>
    <t xml:space="preserve">2. Cores, Lifts &amp; Keys per Floor</t>
  </si>
  <si>
    <t xml:space="preserve">Main Core — 2 Passenger Lifts + Stair + Lift Lobby (sft)</t>
  </si>
  <si>
    <t xml:space="preserve">Service Core — 1 Service Lift + Stair, rear-located (sft)</t>
  </si>
  <si>
    <t xml:space="preserve">Total Core Area per Floor (sft)</t>
  </si>
  <si>
    <t xml:space="preserve">Buildable Floor Plate (sft) — from Setback Calc</t>
  </si>
  <si>
    <t xml:space="preserve">Net area available for keys per floor (sft)</t>
  </si>
  <si>
    <t xml:space="preserve">Formula: (Floor plate - core areas) x efficiency, to also net off corridor/shaft/wall loss beyond the cores.</t>
  </si>
  <si>
    <t xml:space="preserve">Keys achievable per Floor</t>
  </si>
  <si>
    <t xml:space="preserve">3. Guestroom Floors &amp; Total Keys</t>
  </si>
  <si>
    <t xml:space="preserve">Governing Achievable Floors (from Height &amp; FAR Check)</t>
  </si>
  <si>
    <t xml:space="preserve">Guestroom Floors (Governing floors - 1 ground/podium)</t>
  </si>
  <si>
    <t xml:space="preserve">Total Achievable Keys (Keys/floor x Guestroom floors)</t>
  </si>
  <si>
    <t xml:space="preserve">Target Keys (from Inputs)</t>
  </si>
  <si>
    <t xml:space="preserve">Guestroom Floors needed for Target Keys</t>
  </si>
  <si>
    <t xml:space="preserve">Keys Check</t>
  </si>
  <si>
    <t xml:space="preserve">4. FOH / BOH Area Build-up (scaled from 60-key benchmark)</t>
  </si>
  <si>
    <t xml:space="preserve">FOH per 60 keys (sft)</t>
  </si>
  <si>
    <t xml:space="preserve">BOH per 60 keys (sft)</t>
  </si>
  <si>
    <t xml:space="preserve">Keys used for scaling (Target Keys)</t>
  </si>
  <si>
    <t xml:space="preserve">FOH Area required (sft)</t>
  </si>
  <si>
    <t xml:space="preserve">BOH Area required (sft)</t>
  </si>
  <si>
    <t xml:space="preserve">BOH counted in FAR BUA?</t>
  </si>
  <si>
    <t xml:space="preserve">5. Total Built-Up Area Summary</t>
  </si>
  <si>
    <t xml:space="preserve">Guestroom Tower BUA (Target Keys x Gross BUA/Key) (sft)</t>
  </si>
  <si>
    <t xml:space="preserve">+ FOH Area (sft)</t>
  </si>
  <si>
    <t xml:space="preserve">+ BOH Area (sft) — included per 'Count BOH in FAR' toggle</t>
  </si>
  <si>
    <t xml:space="preserve">Total BUA counted for FAR compliance (sft)</t>
  </si>
  <si>
    <t xml:space="preserve">Max Permissible BUA under FAR (sft) — from Height &amp; FAR Check</t>
  </si>
  <si>
    <t xml:space="preserve">FAR Compliance Check</t>
  </si>
  <si>
    <t xml:space="preserve">Total Development BUA (Guestroom+FOH+BOH, regardless of FAR exemption) (sft)</t>
  </si>
  <si>
    <t xml:space="preserve">6. BUA per Key Feasibility Check (target 380-400 sft)</t>
  </si>
  <si>
    <t xml:space="preserve">Overall BUA per Key (Total Dev. BUA ÷ Target Keys) (sft)</t>
  </si>
  <si>
    <t xml:space="preserve">Guestroom-only Gross BUA per Key (sft)</t>
  </si>
  <si>
    <t xml:space="preserve">Target Range Low (sft)</t>
  </si>
  <si>
    <t xml:space="preserve">Target Range High (sft)</t>
  </si>
  <si>
    <t xml:space="preserve">BUA/Key Check (Guestroom-only, vs 380-400 sft)</t>
  </si>
  <si>
    <t xml:space="preserve">Tune 'Net-to-Gross Efficiency' in Inputs (typical hotel range ~65-72%) to land within 380-400 sft/key.</t>
  </si>
  <si>
    <t xml:space="preserve">FEASIBILITY CHECK — SUMMARY DASHBOARD</t>
  </si>
  <si>
    <t xml:space="preserve">Reference: NBC 2016 Part 3 (Development Control) baseline, adjusted per local DCR — see 'Read Me' tab for caveats.</t>
  </si>
  <si>
    <t xml:space="preserve">Site &amp; Development Parameters</t>
  </si>
  <si>
    <t xml:space="preserve">Site Area (sft / sqm)</t>
  </si>
  <si>
    <t xml:space="preserve">FAR / FSI adopted</t>
  </si>
  <si>
    <t xml:space="preserve">Max Permissible BUA (FAR x Site Area)</t>
  </si>
  <si>
    <t xml:space="preserve">Setback &amp; Ground Coverage Checks</t>
  </si>
  <si>
    <t xml:space="preserve">Adopted Front / Rear / Side setback (m)</t>
  </si>
  <si>
    <t xml:space="preserve">Buildable Floor Plate (sft)</t>
  </si>
  <si>
    <t xml:space="preserve">Height &amp; Floors Checks</t>
  </si>
  <si>
    <t xml:space="preserve">Max Permissible Height, NBC rule (m)</t>
  </si>
  <si>
    <t xml:space="preserve">Proposed Height (m)</t>
  </si>
  <si>
    <t xml:space="preserve">Governing Achievable Floors</t>
  </si>
  <si>
    <t xml:space="preserve">Target Floors</t>
  </si>
  <si>
    <t xml:space="preserve">Hotel Program — Keys &amp; Areas</t>
  </si>
  <si>
    <t xml:space="preserve">Guestroom Floors</t>
  </si>
  <si>
    <t xml:space="preserve">Total Achievable Keys</t>
  </si>
  <si>
    <t xml:space="preserve">Target Keys</t>
  </si>
  <si>
    <t xml:space="preserve">Guestroom Tower BUA (sft)</t>
  </si>
  <si>
    <t xml:space="preserve">Total BUA counted for FAR (sft)</t>
  </si>
  <si>
    <t xml:space="preserve">BUA per Key Check (target 380-400 sft)</t>
  </si>
  <si>
    <t xml:space="preserve">Overall BUA per Key incl. FOH+BOH (sft)</t>
  </si>
  <si>
    <t xml:space="preserve">BUA/Key Check</t>
  </si>
  <si>
    <t xml:space="preserve">OVERALL FEASIBILITY VERDICT</t>
  </si>
  <si>
    <t xml:space="preserve">Verdict</t>
  </si>
  <si>
    <t xml:space="preserve">This dashboard is a planning-stage screening tool, not a substitute for a sanctioned architectural drawing, structural/fire NOC, or statutory approval. Verify all figures against the local Development Authority's current Building Bye-Laws / DCR before proceeding to design development or investment commitment.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</si>
</sst>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0"/>
    <numFmt numFmtId="167" formatCode="#,##0.0"/>
    <numFmt numFmtId="168" formatCode="0.00"/>
    <numFmt numFmtId="169" formatCode="0%"/>
    <numFmt numFmtId="170" formatCode="0.0"/>
    <numFmt numFmtId="171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0"/>
    <col collapsed="false" customWidth="true" hidden="false" outlineLevel="0" max="7" min="4" style="0" width="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46.2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2" t="s">
        <v>3</v>
      </c>
    </row>
    <row r="7" customFormat="false" ht="23.85" hidden="false" customHeight="false" outlineLevel="0" collapsed="false">
      <c r="C7" s="3" t="s">
        <v>4</v>
      </c>
    </row>
    <row r="8" customFormat="false" ht="23.85" hidden="false" customHeight="false" outlineLevel="0" collapsed="false">
      <c r="C8" s="3" t="s">
        <v>5</v>
      </c>
    </row>
    <row r="9" customFormat="false" ht="23.85" hidden="false" customHeight="false" outlineLevel="0" collapsed="false">
      <c r="C9" s="3" t="s">
        <v>6</v>
      </c>
    </row>
    <row r="10" customFormat="false" ht="23.85" hidden="false" customHeight="false" outlineLevel="0" collapsed="false">
      <c r="C10" s="3" t="s">
        <v>7</v>
      </c>
    </row>
    <row r="11" customFormat="false" ht="15" hidden="false" customHeight="false" outlineLevel="0" collapsed="false">
      <c r="C11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60" hidden="false" customHeight="true" outlineLevel="0" collapsed="false">
      <c r="C14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C17" s="5" t="s">
        <v>12</v>
      </c>
    </row>
    <row r="18" customFormat="false" ht="15" hidden="false" customHeight="false" outlineLevel="0" collapsed="false">
      <c r="C18" s="6" t="s">
        <v>13</v>
      </c>
    </row>
    <row r="19" customFormat="false" ht="15" hidden="false" customHeight="false" outlineLevel="0" collapsed="false">
      <c r="C19" s="7" t="s">
        <v>14</v>
      </c>
    </row>
    <row r="20" customFormat="false" ht="15" hidden="false" customHeight="false" outlineLevel="0" collapsed="false">
      <c r="C20" s="6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C23" s="3" t="s">
        <v>17</v>
      </c>
    </row>
    <row r="24" customFormat="false" ht="15" hidden="false" customHeight="false" outlineLevel="0" collapsed="false">
      <c r="C24" s="3" t="s">
        <v>18</v>
      </c>
    </row>
    <row r="25" customFormat="false" ht="15" hidden="false" customHeight="false" outlineLevel="0" collapsed="false">
      <c r="C25" s="3" t="s">
        <v>19</v>
      </c>
    </row>
    <row r="26" customFormat="false" ht="15" hidden="false" customHeight="false" outlineLevel="0" collapsed="false">
      <c r="C26" s="3" t="s">
        <v>20</v>
      </c>
    </row>
    <row r="27" customFormat="false" ht="15" hidden="false" customHeight="false" outlineLevel="0" collapsed="false">
      <c r="C27" s="3" t="s">
        <v>21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7" min="6" style="0" width="3"/>
  </cols>
  <sheetData>
    <row r="2" customFormat="false" ht="27.75" hidden="false" customHeight="true" outlineLevel="0" collapsed="false">
      <c r="B2" s="1" t="s">
        <v>22</v>
      </c>
      <c r="C2" s="1"/>
      <c r="D2" s="1"/>
      <c r="E2" s="1"/>
    </row>
    <row r="4" customFormat="false" ht="15" hidden="false" customHeight="false" outlineLevel="0" collapsed="false">
      <c r="B4" s="8" t="s">
        <v>23</v>
      </c>
      <c r="C4" s="8"/>
      <c r="D4" s="8"/>
      <c r="E4" s="8"/>
    </row>
    <row r="5" customFormat="false" ht="15" hidden="false" customHeight="false" outlineLevel="0" collapsed="false">
      <c r="B5" s="3" t="s">
        <v>24</v>
      </c>
      <c r="C5" s="9" t="n">
        <v>30000</v>
      </c>
      <c r="E5" s="10" t="s">
        <v>25</v>
      </c>
    </row>
    <row r="6" customFormat="false" ht="15" hidden="false" customHeight="false" outlineLevel="0" collapsed="false">
      <c r="B6" s="3" t="s">
        <v>26</v>
      </c>
      <c r="C6" s="11" t="n">
        <f aca="false">Inputs!$C$5/10.7639</f>
        <v>2787.0938971934</v>
      </c>
    </row>
    <row r="7" customFormat="false" ht="22.35" hidden="false" customHeight="false" outlineLevel="0" collapsed="false">
      <c r="B7" s="3" t="s">
        <v>27</v>
      </c>
      <c r="C7" s="12" t="s">
        <v>28</v>
      </c>
      <c r="E7" s="10" t="s">
        <v>29</v>
      </c>
    </row>
    <row r="8" customFormat="false" ht="15" hidden="false" customHeight="false" outlineLevel="0" collapsed="false">
      <c r="B8" s="3" t="s">
        <v>30</v>
      </c>
      <c r="C8" s="13" t="n">
        <v>200</v>
      </c>
    </row>
    <row r="9" customFormat="false" ht="22.35" hidden="false" customHeight="false" outlineLevel="0" collapsed="false">
      <c r="B9" s="3" t="s">
        <v>31</v>
      </c>
      <c r="C9" s="13" t="n">
        <v>150</v>
      </c>
      <c r="E9" s="10" t="s">
        <v>32</v>
      </c>
    </row>
    <row r="10" customFormat="false" ht="32.8" hidden="false" customHeight="false" outlineLevel="0" collapsed="false">
      <c r="B10" s="3" t="s">
        <v>33</v>
      </c>
      <c r="C10" s="14" t="n">
        <v>0.9</v>
      </c>
      <c r="E10" s="10" t="s">
        <v>34</v>
      </c>
    </row>
    <row r="11" customFormat="false" ht="15" hidden="false" customHeight="false" outlineLevel="0" collapsed="false">
      <c r="B11" s="3" t="s">
        <v>35</v>
      </c>
      <c r="C11" s="13" t="n">
        <v>12</v>
      </c>
    </row>
    <row r="12" customFormat="false" ht="15" hidden="false" customHeight="false" outlineLevel="0" collapsed="false">
      <c r="B12" s="3" t="s">
        <v>36</v>
      </c>
      <c r="C12" s="13" t="n">
        <v>9</v>
      </c>
      <c r="E12" s="10" t="s">
        <v>37</v>
      </c>
    </row>
    <row r="14" customFormat="false" ht="15" hidden="false" customHeight="false" outlineLevel="0" collapsed="false">
      <c r="B14" s="8" t="s">
        <v>38</v>
      </c>
      <c r="C14" s="8"/>
      <c r="D14" s="8"/>
      <c r="E14" s="8"/>
    </row>
    <row r="15" customFormat="false" ht="32.8" hidden="false" customHeight="false" outlineLevel="0" collapsed="false">
      <c r="B15" s="3" t="s">
        <v>39</v>
      </c>
      <c r="C15" s="14" t="n">
        <v>3.25</v>
      </c>
      <c r="E15" s="10" t="s">
        <v>40</v>
      </c>
    </row>
    <row r="16" customFormat="false" ht="15" hidden="false" customHeight="false" outlineLevel="0" collapsed="false">
      <c r="B16" s="3" t="s">
        <v>41</v>
      </c>
      <c r="C16" s="15" t="n">
        <v>0.55</v>
      </c>
    </row>
    <row r="17" customFormat="false" ht="15" hidden="false" customHeight="false" outlineLevel="0" collapsed="false">
      <c r="B17" s="3" t="s">
        <v>42</v>
      </c>
      <c r="C17" s="9" t="n">
        <v>7</v>
      </c>
    </row>
    <row r="18" customFormat="false" ht="15" hidden="false" customHeight="false" outlineLevel="0" collapsed="false">
      <c r="B18" s="3" t="s">
        <v>43</v>
      </c>
      <c r="C18" s="14" t="n">
        <v>3.2</v>
      </c>
    </row>
    <row r="19" customFormat="false" ht="15" hidden="false" customHeight="false" outlineLevel="0" collapsed="false">
      <c r="B19" s="3" t="s">
        <v>44</v>
      </c>
      <c r="C19" s="14" t="n">
        <v>5.5</v>
      </c>
    </row>
    <row r="21" customFormat="false" ht="15" hidden="false" customHeight="false" outlineLevel="0" collapsed="false">
      <c r="B21" s="8" t="s">
        <v>45</v>
      </c>
      <c r="C21" s="8"/>
      <c r="D21" s="8"/>
      <c r="E21" s="8"/>
    </row>
    <row r="22" customFormat="false" ht="15" hidden="false" customHeight="false" outlineLevel="0" collapsed="false">
      <c r="B22" s="3" t="s">
        <v>46</v>
      </c>
      <c r="C22" s="9" t="n">
        <v>60</v>
      </c>
    </row>
    <row r="23" customFormat="false" ht="15" hidden="false" customHeight="false" outlineLevel="0" collapsed="false">
      <c r="B23" s="3" t="s">
        <v>47</v>
      </c>
      <c r="C23" s="14" t="n">
        <v>3.5</v>
      </c>
    </row>
    <row r="24" customFormat="false" ht="15" hidden="false" customHeight="false" outlineLevel="0" collapsed="false">
      <c r="B24" s="3" t="s">
        <v>48</v>
      </c>
      <c r="C24" s="14" t="n">
        <v>7</v>
      </c>
    </row>
    <row r="25" customFormat="false" ht="22.35" hidden="false" customHeight="false" outlineLevel="0" collapsed="false">
      <c r="B25" s="3" t="s">
        <v>49</v>
      </c>
      <c r="C25" s="9" t="n">
        <v>2</v>
      </c>
      <c r="E25" s="10" t="s">
        <v>50</v>
      </c>
    </row>
    <row r="26" customFormat="false" ht="23.85" hidden="false" customHeight="false" outlineLevel="0" collapsed="false">
      <c r="B26" s="3" t="s">
        <v>51</v>
      </c>
      <c r="C26" s="9" t="n">
        <v>550</v>
      </c>
    </row>
    <row r="27" customFormat="false" ht="23.85" hidden="false" customHeight="false" outlineLevel="0" collapsed="false">
      <c r="B27" s="3" t="s">
        <v>52</v>
      </c>
      <c r="C27" s="9" t="n">
        <v>320</v>
      </c>
    </row>
    <row r="28" customFormat="false" ht="22.35" hidden="false" customHeight="false" outlineLevel="0" collapsed="false">
      <c r="B28" s="3" t="s">
        <v>53</v>
      </c>
      <c r="C28" s="15" t="n">
        <v>0.68</v>
      </c>
      <c r="E28" s="10" t="s">
        <v>54</v>
      </c>
    </row>
    <row r="29" customFormat="false" ht="15" hidden="false" customHeight="false" outlineLevel="0" collapsed="false">
      <c r="B29" s="3" t="s">
        <v>55</v>
      </c>
      <c r="C29" s="9" t="n">
        <v>2800</v>
      </c>
    </row>
    <row r="30" customFormat="false" ht="15" hidden="false" customHeight="false" outlineLevel="0" collapsed="false">
      <c r="B30" s="3" t="s">
        <v>56</v>
      </c>
      <c r="C30" s="9" t="n">
        <v>2200</v>
      </c>
    </row>
    <row r="31" customFormat="false" ht="15" hidden="false" customHeight="false" outlineLevel="0" collapsed="false">
      <c r="B31" s="3" t="s">
        <v>57</v>
      </c>
      <c r="C31" s="12" t="s">
        <v>58</v>
      </c>
    </row>
    <row r="32" customFormat="false" ht="32.8" hidden="false" customHeight="false" outlineLevel="0" collapsed="false">
      <c r="B32" s="3" t="s">
        <v>59</v>
      </c>
      <c r="C32" s="12" t="s">
        <v>60</v>
      </c>
      <c r="E32" s="10" t="s">
        <v>61</v>
      </c>
    </row>
    <row r="33" customFormat="false" ht="15" hidden="false" customHeight="false" outlineLevel="0" collapsed="false">
      <c r="B33" s="3" t="s">
        <v>62</v>
      </c>
      <c r="C33" s="9" t="n">
        <v>380</v>
      </c>
    </row>
    <row r="34" customFormat="false" ht="15" hidden="false" customHeight="false" outlineLevel="0" collapsed="false">
      <c r="B34" s="3" t="s">
        <v>63</v>
      </c>
      <c r="C34" s="9" t="n">
        <v>400</v>
      </c>
    </row>
  </sheetData>
  <mergeCells count="4">
    <mergeCell ref="B2:E2"/>
    <mergeCell ref="B4:E4"/>
    <mergeCell ref="B14:E14"/>
    <mergeCell ref="B21:E21"/>
  </mergeCells>
  <dataValidations count="3">
    <dataValidation allowBlank="false" errorStyle="stop" operator="between" showDropDown="false" showErrorMessage="false" showInputMessage="false" sqref="C7" type="list">
      <formula1>"Rectangular,Corner Plot (2 roads),Irregular"</formula1>
      <formula2>0</formula2>
    </dataValidation>
    <dataValidation allowBlank="false" errorStyle="stop" operator="between" showDropDown="false" showErrorMessage="false" showInputMessage="false" sqref="C31" type="list">
      <formula1>"Basement,Terrace,Ground/Podium"</formula1>
      <formula2>0</formula2>
    </dataValidation>
    <dataValidation allowBlank="false" errorStyle="stop" operator="between" showDropDown="false" showErrorMessage="false" showInputMessage="false" sqref="C3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6" min="3" style="0" width="14"/>
    <col collapsed="false" customWidth="true" hidden="false" outlineLevel="0" max="7" min="7" style="0" width="42"/>
    <col collapsed="false" customWidth="true" hidden="false" outlineLevel="0" max="8" min="8" style="0" width="3"/>
  </cols>
  <sheetData>
    <row r="2" customFormat="false" ht="27.75" hidden="false" customHeight="true" outlineLevel="0" collapsed="false">
      <c r="B2" s="16" t="s">
        <v>64</v>
      </c>
      <c r="C2" s="16"/>
      <c r="D2" s="16"/>
      <c r="E2" s="16"/>
      <c r="F2" s="16"/>
      <c r="G2" s="16"/>
    </row>
    <row r="4" customFormat="false" ht="15" hidden="false" customHeight="false" outlineLevel="0" collapsed="false">
      <c r="B4" s="8" t="s">
        <v>65</v>
      </c>
      <c r="C4" s="8"/>
      <c r="D4" s="8"/>
      <c r="E4" s="8"/>
      <c r="F4" s="8"/>
      <c r="G4" s="8"/>
    </row>
    <row r="5" customFormat="false" ht="23.85" hidden="false" customHeight="false" outlineLevel="0" collapsed="false">
      <c r="B5" s="3"/>
      <c r="C5" s="17" t="s">
        <v>66</v>
      </c>
      <c r="D5" s="17" t="s">
        <v>67</v>
      </c>
      <c r="E5" s="17" t="s">
        <v>68</v>
      </c>
      <c r="F5" s="17" t="s">
        <v>69</v>
      </c>
      <c r="G5" s="17"/>
    </row>
    <row r="6" customFormat="false" ht="15" hidden="false" customHeight="true" outlineLevel="0" collapsed="false">
      <c r="B6" s="18" t="s">
        <v>70</v>
      </c>
      <c r="C6" s="19" t="n">
        <v>1.5</v>
      </c>
      <c r="D6" s="19" t="n">
        <v>1</v>
      </c>
      <c r="E6" s="19" t="n">
        <v>1</v>
      </c>
      <c r="F6" s="20" t="s">
        <v>71</v>
      </c>
      <c r="G6" s="20"/>
    </row>
    <row r="7" customFormat="false" ht="15" hidden="false" customHeight="false" outlineLevel="0" collapsed="false">
      <c r="B7" s="18" t="s">
        <v>72</v>
      </c>
      <c r="C7" s="19" t="n">
        <v>3</v>
      </c>
      <c r="D7" s="19" t="n">
        <v>2</v>
      </c>
      <c r="E7" s="19" t="n">
        <v>1.5</v>
      </c>
      <c r="F7" s="20"/>
      <c r="G7" s="20"/>
    </row>
    <row r="8" customFormat="false" ht="15" hidden="false" customHeight="false" outlineLevel="0" collapsed="false">
      <c r="B8" s="18" t="s">
        <v>73</v>
      </c>
      <c r="C8" s="19" t="n">
        <v>4.5</v>
      </c>
      <c r="D8" s="19" t="n">
        <v>3</v>
      </c>
      <c r="E8" s="19" t="n">
        <v>2</v>
      </c>
      <c r="F8" s="20"/>
      <c r="G8" s="20"/>
    </row>
    <row r="9" customFormat="false" ht="15" hidden="false" customHeight="false" outlineLevel="0" collapsed="false">
      <c r="B9" s="18" t="s">
        <v>74</v>
      </c>
      <c r="C9" s="19" t="n">
        <v>6</v>
      </c>
      <c r="D9" s="19" t="n">
        <v>3</v>
      </c>
      <c r="E9" s="19" t="n">
        <v>3</v>
      </c>
      <c r="F9" s="20"/>
      <c r="G9" s="20"/>
    </row>
    <row r="10" customFormat="false" ht="15" hidden="false" customHeight="false" outlineLevel="0" collapsed="false">
      <c r="B10" s="18" t="s">
        <v>75</v>
      </c>
      <c r="C10" s="19" t="n">
        <v>6</v>
      </c>
      <c r="D10" s="19" t="n">
        <v>4.5</v>
      </c>
      <c r="E10" s="19" t="n">
        <v>4.5</v>
      </c>
      <c r="F10" s="20"/>
      <c r="G10" s="20"/>
    </row>
    <row r="11" customFormat="false" ht="15" hidden="false" customHeight="false" outlineLevel="0" collapsed="false">
      <c r="B11" s="18" t="s">
        <v>76</v>
      </c>
      <c r="C11" s="19" t="n">
        <v>7.5</v>
      </c>
      <c r="D11" s="19" t="n">
        <v>6</v>
      </c>
      <c r="E11" s="19" t="n">
        <v>6</v>
      </c>
      <c r="F11" s="20"/>
      <c r="G11" s="20"/>
    </row>
    <row r="12" customFormat="false" ht="15" hidden="false" customHeight="false" outlineLevel="0" collapsed="false">
      <c r="B12" s="18" t="s">
        <v>77</v>
      </c>
      <c r="C12" s="19" t="n">
        <v>9</v>
      </c>
      <c r="D12" s="19" t="n">
        <v>7.5</v>
      </c>
      <c r="E12" s="19" t="n">
        <v>7.5</v>
      </c>
      <c r="F12" s="20"/>
      <c r="G12" s="20"/>
    </row>
    <row r="13" customFormat="false" ht="15" hidden="false" customHeight="false" outlineLevel="0" collapsed="false">
      <c r="B13" s="18" t="s">
        <v>78</v>
      </c>
      <c r="C13" s="19" t="n">
        <v>12</v>
      </c>
      <c r="D13" s="19" t="n">
        <v>9</v>
      </c>
      <c r="E13" s="19" t="n">
        <v>9</v>
      </c>
      <c r="F13" s="20"/>
      <c r="G13" s="20"/>
    </row>
    <row r="15" customFormat="false" ht="15" hidden="false" customHeight="false" outlineLevel="0" collapsed="false">
      <c r="B15" s="8" t="s">
        <v>79</v>
      </c>
      <c r="C15" s="8"/>
      <c r="D15" s="8"/>
      <c r="E15" s="8"/>
      <c r="F15" s="8"/>
      <c r="G15" s="8"/>
    </row>
    <row r="16" customFormat="false" ht="15" hidden="false" customHeight="false" outlineLevel="0" collapsed="false">
      <c r="B16" s="3" t="s">
        <v>80</v>
      </c>
      <c r="C16" s="21" t="str">
        <f aca="false">INDEX(B6:B13,MATCH(Inputs!$C$6,{0,100,150,300,500,1000,2000,4000},1))</f>
        <v>2000 - 4000</v>
      </c>
      <c r="D16" s="21"/>
      <c r="E16" s="21"/>
    </row>
    <row r="17" customFormat="false" ht="15" hidden="false" customHeight="false" outlineLevel="0" collapsed="false">
      <c r="B17" s="3" t="s">
        <v>81</v>
      </c>
      <c r="C17" s="22" t="n">
        <f aca="false">INDEX(C6:C13,MATCH(Inputs!$C$6,{0,100,150,300,500,1000,2000,4000},1))</f>
        <v>9</v>
      </c>
    </row>
    <row r="18" customFormat="false" ht="15" hidden="false" customHeight="false" outlineLevel="0" collapsed="false">
      <c r="B18" s="3" t="s">
        <v>82</v>
      </c>
      <c r="C18" s="22" t="n">
        <f aca="false">INDEX(D6:D13,MATCH(Inputs!$C$6,{0,100,150,300,500,1000,2000,4000},1))</f>
        <v>7.5</v>
      </c>
    </row>
    <row r="19" customFormat="false" ht="15" hidden="false" customHeight="false" outlineLevel="0" collapsed="false">
      <c r="B19" s="3" t="s">
        <v>83</v>
      </c>
      <c r="C19" s="22" t="n">
        <f aca="false">INDEX(E6:E13,MATCH(Inputs!$C$6,{0,100,150,300,500,1000,2000,4000},1))</f>
        <v>7.5</v>
      </c>
    </row>
    <row r="21" customFormat="false" ht="15" hidden="false" customHeight="false" outlineLevel="0" collapsed="false">
      <c r="B21" s="8" t="s">
        <v>84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3" t="s">
        <v>85</v>
      </c>
      <c r="C22" s="23" t="n">
        <f aca="false">MAX(0,Inputs!$C$17-4)</f>
        <v>3</v>
      </c>
    </row>
    <row r="23" customFormat="false" ht="74.6" hidden="false" customHeight="false" outlineLevel="0" collapsed="false">
      <c r="B23" s="3" t="s">
        <v>86</v>
      </c>
      <c r="C23" s="22" t="n">
        <f aca="false">'Setback Calc'!$C$22*0.5</f>
        <v>1.5</v>
      </c>
      <c r="E23" s="10" t="s">
        <v>87</v>
      </c>
    </row>
    <row r="25" customFormat="false" ht="15" hidden="false" customHeight="false" outlineLevel="0" collapsed="false">
      <c r="B25" s="8" t="s">
        <v>88</v>
      </c>
      <c r="C25" s="8"/>
      <c r="D25" s="8"/>
      <c r="E25" s="8"/>
      <c r="F25" s="8"/>
      <c r="G25" s="8"/>
    </row>
    <row r="26" customFormat="false" ht="43.25" hidden="false" customHeight="false" outlineLevel="0" collapsed="false">
      <c r="C26" s="24" t="s">
        <v>89</v>
      </c>
      <c r="D26" s="24" t="s">
        <v>90</v>
      </c>
      <c r="E26" s="24" t="s">
        <v>91</v>
      </c>
    </row>
    <row r="27" customFormat="false" ht="15" hidden="false" customHeight="false" outlineLevel="0" collapsed="false">
      <c r="B27" s="3" t="s">
        <v>92</v>
      </c>
      <c r="C27" s="22" t="n">
        <f aca="false">'Setback Calc'!$C$17</f>
        <v>9</v>
      </c>
      <c r="D27" s="25"/>
      <c r="E27" s="11" t="n">
        <f aca="false">IF(D27="",C27,D27)*3.28084</f>
        <v>29.52756</v>
      </c>
    </row>
    <row r="28" customFormat="false" ht="15" hidden="false" customHeight="false" outlineLevel="0" collapsed="false">
      <c r="B28" s="3" t="s">
        <v>93</v>
      </c>
      <c r="C28" s="22" t="n">
        <f aca="false">'Setback Calc'!$C$18+'Setback Calc'!$C$23</f>
        <v>9</v>
      </c>
      <c r="D28" s="25"/>
      <c r="E28" s="11" t="n">
        <f aca="false">IF(D28="",C28,D28)*3.28084</f>
        <v>29.52756</v>
      </c>
    </row>
    <row r="29" customFormat="false" ht="15" hidden="false" customHeight="false" outlineLevel="0" collapsed="false">
      <c r="B29" s="3" t="s">
        <v>94</v>
      </c>
      <c r="C29" s="22" t="n">
        <f aca="false">'Setback Calc'!$C$19+'Setback Calc'!$C$23</f>
        <v>9</v>
      </c>
      <c r="D29" s="25"/>
      <c r="E29" s="11" t="n">
        <f aca="false">IF(D29="",C29,D29)*3.28084</f>
        <v>29.52756</v>
      </c>
    </row>
    <row r="30" customFormat="false" ht="22.35" hidden="false" customHeight="true" outlineLevel="0" collapsed="false">
      <c r="B30" s="26" t="s">
        <v>95</v>
      </c>
      <c r="C30" s="26"/>
      <c r="D30" s="26"/>
      <c r="E30" s="26"/>
      <c r="F30" s="26"/>
      <c r="G30" s="26"/>
    </row>
    <row r="32" customFormat="false" ht="15" hidden="false" customHeight="false" outlineLevel="0" collapsed="false">
      <c r="B32" s="8" t="s">
        <v>96</v>
      </c>
      <c r="C32" s="8"/>
      <c r="D32" s="8"/>
      <c r="E32" s="8"/>
      <c r="F32" s="8"/>
      <c r="G32" s="8"/>
    </row>
    <row r="33" customFormat="false" ht="15" hidden="false" customHeight="false" outlineLevel="0" collapsed="false">
      <c r="B33" s="3" t="s">
        <v>97</v>
      </c>
      <c r="C33" s="23" t="n">
        <f aca="false">IF(Inputs!$C$7="Corner Plot (2 roads)",2,1)</f>
        <v>1</v>
      </c>
    </row>
    <row r="34" customFormat="false" ht="85.05" hidden="false" customHeight="false" outlineLevel="0" collapsed="false">
      <c r="B34" s="3" t="s">
        <v>98</v>
      </c>
      <c r="C34" s="23" t="n">
        <f aca="false">MAX(0,(Inputs!$C$8-'Setback Calc'!$E$27-'Setback Calc'!$E$28)*(Inputs!$C$9-2*'Setback Calc'!$E$29-('Setback Calc'!$C$33-1)*'Setback Calc'!$E$27))</f>
        <v>12818.2151982144</v>
      </c>
      <c r="E34" s="10" t="s">
        <v>99</v>
      </c>
    </row>
    <row r="35" customFormat="false" ht="15" hidden="false" customHeight="false" outlineLevel="0" collapsed="false">
      <c r="B35" s="3" t="s">
        <v>100</v>
      </c>
      <c r="C35" s="22" t="n">
        <f aca="false">IF(Inputs!$C$7="Irregular",Inputs!$C$10,1)</f>
        <v>1</v>
      </c>
    </row>
    <row r="36" customFormat="false" ht="15" hidden="false" customHeight="false" outlineLevel="0" collapsed="false">
      <c r="B36" s="27" t="s">
        <v>101</v>
      </c>
      <c r="C36" s="28" t="n">
        <f aca="false">'Setback Calc'!$C$34*'Setback Calc'!$C$35</f>
        <v>12818.2151982144</v>
      </c>
    </row>
    <row r="37" customFormat="false" ht="15" hidden="false" customHeight="false" outlineLevel="0" collapsed="false">
      <c r="B37" s="3" t="s">
        <v>102</v>
      </c>
      <c r="C37" s="29" t="n">
        <f aca="false">'Setback Calc'!$C$36/Inputs!$C$5</f>
        <v>0.42727383994048</v>
      </c>
    </row>
    <row r="38" customFormat="false" ht="15" hidden="false" customHeight="false" outlineLevel="0" collapsed="false">
      <c r="B38" s="3" t="s">
        <v>41</v>
      </c>
      <c r="C38" s="29" t="n">
        <f aca="false">Inputs!$C$16</f>
        <v>0.55</v>
      </c>
    </row>
    <row r="39" customFormat="false" ht="15" hidden="false" customHeight="false" outlineLevel="0" collapsed="false">
      <c r="B39" s="27" t="s">
        <v>103</v>
      </c>
      <c r="C39" s="30" t="str">
        <f aca="false">IF('Setback Calc'!$C$37&lt;=Inputs!$C$16,"OK - within limit","EXCEEDS limit, reduce floor plate")</f>
        <v>OK - within limit</v>
      </c>
    </row>
  </sheetData>
  <mergeCells count="9">
    <mergeCell ref="B2:G2"/>
    <mergeCell ref="B4:G4"/>
    <mergeCell ref="F6:G13"/>
    <mergeCell ref="B15:G15"/>
    <mergeCell ref="C16:E16"/>
    <mergeCell ref="B21:G21"/>
    <mergeCell ref="B25:G25"/>
    <mergeCell ref="B30:G30"/>
    <mergeCell ref="B32:G32"/>
  </mergeCells>
  <conditionalFormatting sqref="C39">
    <cfRule type="expression" priority="2" aboveAverage="0" equalAverage="0" bottom="0" percent="0" rank="0" text="" dxfId="0">
      <formula>LEFT(C39,2)="OK"</formula>
    </cfRule>
    <cfRule type="expression" priority="3" aboveAverage="0" equalAverage="0" bottom="0" percent="0" rank="0" text="" dxfId="1">
      <formula>LEFT(C39,2)="EX"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42"/>
    <col collapsed="false" customWidth="true" hidden="false" outlineLevel="0" max="7" min="6" style="0" width="3"/>
  </cols>
  <sheetData>
    <row r="2" customFormat="false" ht="27.75" hidden="false" customHeight="true" outlineLevel="0" collapsed="false">
      <c r="B2" s="16" t="s">
        <v>104</v>
      </c>
      <c r="C2" s="16"/>
      <c r="D2" s="16"/>
      <c r="E2" s="16"/>
    </row>
    <row r="4" customFormat="false" ht="15" hidden="false" customHeight="false" outlineLevel="0" collapsed="false">
      <c r="B4" s="8" t="s">
        <v>105</v>
      </c>
      <c r="C4" s="8"/>
      <c r="D4" s="8"/>
      <c r="E4" s="8"/>
    </row>
    <row r="5" customFormat="false" ht="15" hidden="false" customHeight="false" outlineLevel="0" collapsed="false">
      <c r="B5" s="3" t="s">
        <v>106</v>
      </c>
      <c r="C5" s="22" t="n">
        <f aca="false">Inputs!$C$11</f>
        <v>12</v>
      </c>
    </row>
    <row r="6" customFormat="false" ht="15" hidden="false" customHeight="false" outlineLevel="0" collapsed="false">
      <c r="B6" s="3" t="s">
        <v>107</v>
      </c>
      <c r="C6" s="22" t="n">
        <f aca="false">'Setback Calc'!$E$27/3.28084</f>
        <v>9</v>
      </c>
    </row>
    <row r="7" customFormat="false" ht="158.2" hidden="false" customHeight="false" outlineLevel="0" collapsed="false">
      <c r="B7" s="27" t="s">
        <v>108</v>
      </c>
      <c r="C7" s="31" t="n">
        <f aca="false">(Inputs!$C$11+'Setback Calc'!$E$27/3.28084)*1.5</f>
        <v>31.5</v>
      </c>
      <c r="D7" s="10" t="s">
        <v>109</v>
      </c>
    </row>
    <row r="8" customFormat="false" ht="53.7" hidden="false" customHeight="false" outlineLevel="0" collapsed="false">
      <c r="B8" s="3" t="s">
        <v>110</v>
      </c>
      <c r="C8" s="22" t="n">
        <f aca="false">(Inputs!$C$17-1)*Inputs!$C$18+Inputs!$C$19</f>
        <v>24.7</v>
      </c>
      <c r="D8" s="10" t="s">
        <v>111</v>
      </c>
    </row>
    <row r="9" customFormat="false" ht="15" hidden="false" customHeight="false" outlineLevel="0" collapsed="false">
      <c r="B9" s="27" t="s">
        <v>112</v>
      </c>
      <c r="C9" s="30" t="str">
        <f aca="false">IF('Height &amp; FAR Check'!$C$8&lt;='Height &amp; FAR Check'!$C$7,"OK - within height rule","EXCEEDS - reduce floors or increase front setback")</f>
        <v>OK - within height rule</v>
      </c>
    </row>
    <row r="10" customFormat="false" ht="15" hidden="false" customHeight="false" outlineLevel="0" collapsed="false">
      <c r="B10" s="3" t="s">
        <v>113</v>
      </c>
      <c r="C10" s="23" t="n">
        <f aca="false">1+ROUNDDOWN(('Height &amp; FAR Check'!$C$7-Inputs!$C$19)/Inputs!$C$18,0)</f>
        <v>9</v>
      </c>
    </row>
    <row r="12" customFormat="false" ht="15" hidden="false" customHeight="false" outlineLevel="0" collapsed="false">
      <c r="B12" s="8" t="s">
        <v>114</v>
      </c>
      <c r="C12" s="8"/>
      <c r="D12" s="8"/>
      <c r="E12" s="8"/>
    </row>
    <row r="13" customFormat="false" ht="15" hidden="false" customHeight="false" outlineLevel="0" collapsed="false">
      <c r="B13" s="3" t="s">
        <v>115</v>
      </c>
      <c r="C13" s="23" t="n">
        <f aca="false">Inputs!$C$5</f>
        <v>30000</v>
      </c>
    </row>
    <row r="14" customFormat="false" ht="15" hidden="false" customHeight="false" outlineLevel="0" collapsed="false">
      <c r="B14" s="3" t="s">
        <v>116</v>
      </c>
      <c r="C14" s="22" t="n">
        <f aca="false">Inputs!$C$15</f>
        <v>3.25</v>
      </c>
    </row>
    <row r="15" customFormat="false" ht="15" hidden="false" customHeight="false" outlineLevel="0" collapsed="false">
      <c r="B15" s="27" t="s">
        <v>117</v>
      </c>
      <c r="C15" s="28" t="n">
        <f aca="false">Inputs!$C$5*Inputs!$C$15</f>
        <v>97500</v>
      </c>
    </row>
    <row r="16" customFormat="false" ht="15" hidden="false" customHeight="false" outlineLevel="0" collapsed="false">
      <c r="B16" s="3" t="s">
        <v>118</v>
      </c>
      <c r="C16" s="23" t="n">
        <f aca="false">'Setback Calc'!$C$36</f>
        <v>12818.2151982144</v>
      </c>
    </row>
    <row r="17" customFormat="false" ht="85.05" hidden="false" customHeight="false" outlineLevel="0" collapsed="false">
      <c r="B17" s="3" t="s">
        <v>119</v>
      </c>
      <c r="C17" s="23" t="n">
        <f aca="false">IFERROR(ROUNDDOWN('Height &amp; FAR Check'!$C$15/'Setback Calc'!$C$36,0),0)</f>
        <v>7</v>
      </c>
      <c r="D17" s="10" t="s">
        <v>120</v>
      </c>
    </row>
    <row r="18" customFormat="false" ht="23.85" hidden="false" customHeight="false" outlineLevel="0" collapsed="false">
      <c r="B18" s="27" t="s">
        <v>121</v>
      </c>
      <c r="C18" s="28" t="n">
        <f aca="false">MIN('Height &amp; FAR Check'!$C$10,'Height &amp; FAR Check'!$C$17)</f>
        <v>7</v>
      </c>
    </row>
    <row r="19" customFormat="false" ht="15" hidden="false" customHeight="false" outlineLevel="0" collapsed="false">
      <c r="B19" s="3" t="s">
        <v>122</v>
      </c>
      <c r="C19" s="23" t="n">
        <f aca="false">Inputs!$C$17</f>
        <v>7</v>
      </c>
    </row>
    <row r="20" customFormat="false" ht="15" hidden="false" customHeight="false" outlineLevel="0" collapsed="false">
      <c r="B20" s="27" t="s">
        <v>123</v>
      </c>
      <c r="C20" s="30" t="str">
        <f aca="false">IF(Inputs!$C$17&lt;='Height &amp; FAR Check'!$C$18,"OK - target achievable","REVIEW - target exceeds achievable floors")</f>
        <v>OK - target achievable</v>
      </c>
    </row>
  </sheetData>
  <mergeCells count="3">
    <mergeCell ref="B2:E2"/>
    <mergeCell ref="B4:E4"/>
    <mergeCell ref="B12:E12"/>
  </mergeCells>
  <conditionalFormatting sqref="C9">
    <cfRule type="expression" priority="2" aboveAverage="0" equalAverage="0" bottom="0" percent="0" rank="0" text="" dxfId="0">
      <formula>LEFT(C9,2)="OK"</formula>
    </cfRule>
    <cfRule type="expression" priority="3" aboveAverage="0" equalAverage="0" bottom="0" percent="0" rank="0" text="" dxfId="1">
      <formula>LEFT(C9,2)="EX"</formula>
    </cfRule>
  </conditionalFormatting>
  <conditionalFormatting sqref="C20">
    <cfRule type="expression" priority="4" aboveAverage="0" equalAverage="0" bottom="0" percent="0" rank="0" text="" dxfId="0">
      <formula>LEFT(C20,2)="OK"</formula>
    </cfRule>
    <cfRule type="expression" priority="5" aboveAverage="0" equalAverage="0" bottom="0" percent="0" rank="0" text="" dxfId="1">
      <formula>LEFT(C20,2)="RE"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46"/>
    <col collapsed="false" customWidth="true" hidden="false" outlineLevel="0" max="7" min="6" style="0" width="3"/>
  </cols>
  <sheetData>
    <row r="2" customFormat="false" ht="27.75" hidden="false" customHeight="true" outlineLevel="0" collapsed="false">
      <c r="B2" s="16" t="s">
        <v>124</v>
      </c>
      <c r="C2" s="16"/>
      <c r="D2" s="16"/>
      <c r="E2" s="16"/>
    </row>
    <row r="4" customFormat="false" ht="15" hidden="false" customHeight="false" outlineLevel="0" collapsed="false">
      <c r="B4" s="8" t="s">
        <v>125</v>
      </c>
      <c r="C4" s="8"/>
      <c r="D4" s="8"/>
      <c r="E4" s="8"/>
    </row>
    <row r="5" customFormat="false" ht="15" hidden="false" customHeight="false" outlineLevel="0" collapsed="false">
      <c r="B5" s="3" t="s">
        <v>126</v>
      </c>
      <c r="C5" s="21" t="str">
        <f aca="false">Inputs!$C$23&amp;" x "&amp;Inputs!$C$24&amp;" m"</f>
        <v>3.5 x 7 m</v>
      </c>
      <c r="D5" s="21"/>
    </row>
    <row r="6" customFormat="false" ht="15" hidden="false" customHeight="false" outlineLevel="0" collapsed="false">
      <c r="B6" s="3" t="s">
        <v>127</v>
      </c>
      <c r="C6" s="22" t="n">
        <f aca="false">Inputs!$C$23*Inputs!$C$24</f>
        <v>24.5</v>
      </c>
    </row>
    <row r="7" customFormat="false" ht="15" hidden="false" customHeight="false" outlineLevel="0" collapsed="false">
      <c r="B7" s="3" t="s">
        <v>128</v>
      </c>
      <c r="C7" s="32" t="n">
        <f aca="false">'Hotel Program'!$C$6*10.7639</f>
        <v>263.71555</v>
      </c>
    </row>
    <row r="8" customFormat="false" ht="15" hidden="false" customHeight="false" outlineLevel="0" collapsed="false">
      <c r="B8" s="3" t="s">
        <v>129</v>
      </c>
      <c r="C8" s="33" t="n">
        <f aca="false">Inputs!$C$28</f>
        <v>0.68</v>
      </c>
    </row>
    <row r="9" customFormat="false" ht="74.6" hidden="false" customHeight="false" outlineLevel="0" collapsed="false">
      <c r="B9" s="27" t="s">
        <v>130</v>
      </c>
      <c r="C9" s="34" t="n">
        <f aca="false">'Hotel Program'!$C$7/Inputs!$C$28</f>
        <v>387.816985294118</v>
      </c>
      <c r="D9" s="10" t="s">
        <v>131</v>
      </c>
    </row>
    <row r="11" customFormat="false" ht="15" hidden="false" customHeight="false" outlineLevel="0" collapsed="false">
      <c r="B11" s="8" t="s">
        <v>132</v>
      </c>
      <c r="C11" s="8"/>
      <c r="D11" s="8"/>
      <c r="E11" s="8"/>
    </row>
    <row r="12" customFormat="false" ht="15" hidden="false" customHeight="false" outlineLevel="0" collapsed="false">
      <c r="B12" s="3" t="s">
        <v>133</v>
      </c>
      <c r="C12" s="23" t="n">
        <f aca="false">Inputs!$C$26</f>
        <v>550</v>
      </c>
    </row>
    <row r="13" customFormat="false" ht="15" hidden="false" customHeight="false" outlineLevel="0" collapsed="false">
      <c r="B13" s="3" t="s">
        <v>134</v>
      </c>
      <c r="C13" s="23" t="n">
        <f aca="false">Inputs!$C$27</f>
        <v>320</v>
      </c>
    </row>
    <row r="14" customFormat="false" ht="15" hidden="false" customHeight="false" outlineLevel="0" collapsed="false">
      <c r="B14" s="3" t="s">
        <v>135</v>
      </c>
      <c r="C14" s="23" t="n">
        <f aca="false">Inputs!$C$26+Inputs!$C$27</f>
        <v>870</v>
      </c>
    </row>
    <row r="15" customFormat="false" ht="15" hidden="false" customHeight="false" outlineLevel="0" collapsed="false">
      <c r="B15" s="3" t="s">
        <v>136</v>
      </c>
      <c r="C15" s="23" t="n">
        <f aca="false">'Setback Calc'!$C$36</f>
        <v>12818.2151982144</v>
      </c>
    </row>
    <row r="16" customFormat="false" ht="74.6" hidden="false" customHeight="false" outlineLevel="0" collapsed="false">
      <c r="B16" s="3" t="s">
        <v>137</v>
      </c>
      <c r="C16" s="23" t="n">
        <f aca="false">MAX(0,('Setback Calc'!$C$36-'Hotel Program'!$C$14))*Inputs!$C$28</f>
        <v>8124.78633478579</v>
      </c>
      <c r="D16" s="10" t="s">
        <v>138</v>
      </c>
    </row>
    <row r="17" customFormat="false" ht="15" hidden="false" customHeight="false" outlineLevel="0" collapsed="false">
      <c r="B17" s="27" t="s">
        <v>139</v>
      </c>
      <c r="C17" s="28" t="n">
        <f aca="false">IFERROR(ROUNDDOWN('Hotel Program'!$C$16/'Hotel Program'!$C$7,0),0)</f>
        <v>30</v>
      </c>
    </row>
    <row r="19" customFormat="false" ht="15" hidden="false" customHeight="false" outlineLevel="0" collapsed="false">
      <c r="B19" s="8" t="s">
        <v>140</v>
      </c>
      <c r="C19" s="8"/>
      <c r="D19" s="8"/>
      <c r="E19" s="8"/>
    </row>
    <row r="20" customFormat="false" ht="23.85" hidden="false" customHeight="false" outlineLevel="0" collapsed="false">
      <c r="B20" s="3" t="s">
        <v>141</v>
      </c>
      <c r="C20" s="23" t="n">
        <f aca="false">'Height &amp; FAR Check'!$C$18</f>
        <v>7</v>
      </c>
    </row>
    <row r="21" customFormat="false" ht="15" hidden="false" customHeight="false" outlineLevel="0" collapsed="false">
      <c r="B21" s="3" t="s">
        <v>142</v>
      </c>
      <c r="C21" s="23" t="n">
        <f aca="false">MAX(0,'Hotel Program'!$C$20-1)</f>
        <v>6</v>
      </c>
    </row>
    <row r="22" customFormat="false" ht="23.85" hidden="false" customHeight="false" outlineLevel="0" collapsed="false">
      <c r="B22" s="27" t="s">
        <v>143</v>
      </c>
      <c r="C22" s="28" t="n">
        <f aca="false">'Hotel Program'!$C$17*'Hotel Program'!$C$21</f>
        <v>180</v>
      </c>
    </row>
    <row r="23" customFormat="false" ht="15" hidden="false" customHeight="false" outlineLevel="0" collapsed="false">
      <c r="B23" s="3" t="s">
        <v>144</v>
      </c>
      <c r="C23" s="23" t="n">
        <f aca="false">Inputs!$C$22</f>
        <v>60</v>
      </c>
    </row>
    <row r="24" customFormat="false" ht="15" hidden="false" customHeight="false" outlineLevel="0" collapsed="false">
      <c r="B24" s="3" t="s">
        <v>145</v>
      </c>
      <c r="C24" s="23" t="n">
        <f aca="false">IFERROR(ROUNDUP(Inputs!$C$22/'Hotel Program'!$C$17,0),0)</f>
        <v>2</v>
      </c>
    </row>
    <row r="25" customFormat="false" ht="15" hidden="false" customHeight="false" outlineLevel="0" collapsed="false">
      <c r="B25" s="27" t="s">
        <v>146</v>
      </c>
      <c r="C25" s="30" t="str">
        <f aca="false">IF('Hotel Program'!$C$22&gt;=Inputs!$C$22,"OK - target keys achievable","REVIEW - increase floors/plot or trim target keys")</f>
        <v>OK - target keys achievable</v>
      </c>
    </row>
    <row r="27" customFormat="false" ht="15" hidden="false" customHeight="false" outlineLevel="0" collapsed="false">
      <c r="B27" s="8" t="s">
        <v>147</v>
      </c>
      <c r="C27" s="8"/>
      <c r="D27" s="8"/>
      <c r="E27" s="8"/>
    </row>
    <row r="28" customFormat="false" ht="15" hidden="false" customHeight="false" outlineLevel="0" collapsed="false">
      <c r="B28" s="3" t="s">
        <v>148</v>
      </c>
      <c r="C28" s="23" t="n">
        <f aca="false">Inputs!$C$29</f>
        <v>2800</v>
      </c>
    </row>
    <row r="29" customFormat="false" ht="15" hidden="false" customHeight="false" outlineLevel="0" collapsed="false">
      <c r="B29" s="3" t="s">
        <v>149</v>
      </c>
      <c r="C29" s="23" t="n">
        <f aca="false">Inputs!$C$30</f>
        <v>2200</v>
      </c>
    </row>
    <row r="30" customFormat="false" ht="15" hidden="false" customHeight="false" outlineLevel="0" collapsed="false">
      <c r="B30" s="3" t="s">
        <v>150</v>
      </c>
      <c r="C30" s="23" t="n">
        <f aca="false">Inputs!$C$22</f>
        <v>60</v>
      </c>
    </row>
    <row r="31" customFormat="false" ht="15" hidden="false" customHeight="false" outlineLevel="0" collapsed="false">
      <c r="B31" s="27" t="s">
        <v>151</v>
      </c>
      <c r="C31" s="28" t="n">
        <f aca="false">Inputs!$C$22/60*Inputs!$C$29</f>
        <v>2800</v>
      </c>
    </row>
    <row r="32" customFormat="false" ht="15" hidden="false" customHeight="false" outlineLevel="0" collapsed="false">
      <c r="B32" s="27" t="s">
        <v>152</v>
      </c>
      <c r="C32" s="28" t="n">
        <f aca="false">Inputs!$C$22/60*Inputs!$C$30</f>
        <v>2200</v>
      </c>
    </row>
    <row r="33" customFormat="false" ht="15" hidden="false" customHeight="false" outlineLevel="0" collapsed="false">
      <c r="B33" s="3" t="s">
        <v>57</v>
      </c>
      <c r="C33" s="21" t="str">
        <f aca="false">Inputs!$C$31</f>
        <v>Basement</v>
      </c>
    </row>
    <row r="34" customFormat="false" ht="15" hidden="false" customHeight="false" outlineLevel="0" collapsed="false">
      <c r="B34" s="3" t="s">
        <v>153</v>
      </c>
      <c r="C34" s="21" t="str">
        <f aca="false">Inputs!$C$32</f>
        <v>N</v>
      </c>
    </row>
    <row r="36" customFormat="false" ht="15" hidden="false" customHeight="false" outlineLevel="0" collapsed="false">
      <c r="B36" s="8" t="s">
        <v>154</v>
      </c>
      <c r="C36" s="8"/>
      <c r="D36" s="8"/>
      <c r="E36" s="8"/>
    </row>
    <row r="37" customFormat="false" ht="23.85" hidden="false" customHeight="false" outlineLevel="0" collapsed="false">
      <c r="B37" s="27" t="s">
        <v>155</v>
      </c>
      <c r="C37" s="28" t="n">
        <f aca="false">Inputs!$C$22*'Hotel Program'!$C$9</f>
        <v>23269.0191176471</v>
      </c>
    </row>
    <row r="38" customFormat="false" ht="15" hidden="false" customHeight="false" outlineLevel="0" collapsed="false">
      <c r="B38" s="3" t="s">
        <v>156</v>
      </c>
      <c r="C38" s="23" t="n">
        <f aca="false">'Hotel Program'!$C$31</f>
        <v>2800</v>
      </c>
    </row>
    <row r="39" customFormat="false" ht="23.85" hidden="false" customHeight="false" outlineLevel="0" collapsed="false">
      <c r="B39" s="3" t="s">
        <v>157</v>
      </c>
      <c r="C39" s="23" t="n">
        <f aca="false">IF(Inputs!$C$32="Y",'Hotel Program'!$C$32,0)</f>
        <v>0</v>
      </c>
    </row>
    <row r="40" customFormat="false" ht="15" hidden="false" customHeight="false" outlineLevel="0" collapsed="false">
      <c r="B40" s="27" t="s">
        <v>158</v>
      </c>
      <c r="C40" s="28" t="n">
        <f aca="false">'Hotel Program'!$C$37+'Hotel Program'!$C$31+'Hotel Program'!$C$39</f>
        <v>26069.0191176471</v>
      </c>
    </row>
    <row r="41" customFormat="false" ht="23.85" hidden="false" customHeight="false" outlineLevel="0" collapsed="false">
      <c r="B41" s="3" t="s">
        <v>159</v>
      </c>
      <c r="C41" s="23" t="n">
        <f aca="false">'Height &amp; FAR Check'!$C$15</f>
        <v>97500</v>
      </c>
    </row>
    <row r="42" customFormat="false" ht="15" hidden="false" customHeight="false" outlineLevel="0" collapsed="false">
      <c r="B42" s="27" t="s">
        <v>160</v>
      </c>
      <c r="C42" s="30" t="str">
        <f aca="false">IF('Hotel Program'!$C$40&lt;='Height &amp; FAR Check'!$C$15,"OK - within FAR","EXCEEDS FAR - trim program or increase site/FAR")</f>
        <v>OK - within FAR</v>
      </c>
    </row>
    <row r="43" customFormat="false" ht="23.85" hidden="false" customHeight="false" outlineLevel="0" collapsed="false">
      <c r="B43" s="3" t="s">
        <v>161</v>
      </c>
      <c r="C43" s="23" t="n">
        <f aca="false">'Hotel Program'!$C$37+'Hotel Program'!$C$31+'Hotel Program'!$C$32</f>
        <v>28269.0191176471</v>
      </c>
    </row>
    <row r="45" customFormat="false" ht="15" hidden="false" customHeight="false" outlineLevel="0" collapsed="false">
      <c r="B45" s="8" t="s">
        <v>162</v>
      </c>
      <c r="C45" s="8"/>
      <c r="D45" s="8"/>
      <c r="E45" s="8"/>
    </row>
    <row r="46" customFormat="false" ht="23.85" hidden="false" customHeight="false" outlineLevel="0" collapsed="false">
      <c r="B46" s="27" t="s">
        <v>163</v>
      </c>
      <c r="C46" s="34" t="n">
        <f aca="false">'Hotel Program'!$C$43/Inputs!$C$22</f>
        <v>471.150318627451</v>
      </c>
    </row>
    <row r="47" customFormat="false" ht="15" hidden="false" customHeight="false" outlineLevel="0" collapsed="false">
      <c r="B47" s="3" t="s">
        <v>164</v>
      </c>
      <c r="C47" s="32" t="n">
        <f aca="false">'Hotel Program'!$C$9</f>
        <v>387.816985294118</v>
      </c>
    </row>
    <row r="48" customFormat="false" ht="15" hidden="false" customHeight="false" outlineLevel="0" collapsed="false">
      <c r="B48" s="3" t="s">
        <v>165</v>
      </c>
      <c r="C48" s="23" t="n">
        <f aca="false">Inputs!$C$33</f>
        <v>380</v>
      </c>
    </row>
    <row r="49" customFormat="false" ht="15" hidden="false" customHeight="false" outlineLevel="0" collapsed="false">
      <c r="B49" s="3" t="s">
        <v>166</v>
      </c>
      <c r="C49" s="23" t="n">
        <f aca="false">Inputs!$C$34</f>
        <v>400</v>
      </c>
    </row>
    <row r="50" customFormat="false" ht="64.15" hidden="false" customHeight="false" outlineLevel="0" collapsed="false">
      <c r="B50" s="27" t="s">
        <v>167</v>
      </c>
      <c r="C50" s="30" t="str">
        <f aca="false">IF(AND('Hotel Program'!$C$9&gt;=Inputs!$C$33,'Hotel Program'!$C$9&lt;=Inputs!$C$34),"OK - within target band",IF('Hotel Program'!$C$9&lt;Inputs!$C$33,"BELOW band - efficiency too high/tight","ABOVE band - efficiency too low/loose"))</f>
        <v>OK - within target band</v>
      </c>
      <c r="D50" s="10" t="s">
        <v>168</v>
      </c>
    </row>
  </sheetData>
  <mergeCells count="8">
    <mergeCell ref="B2:E2"/>
    <mergeCell ref="B4:E4"/>
    <mergeCell ref="C5:D5"/>
    <mergeCell ref="B11:E11"/>
    <mergeCell ref="B19:E19"/>
    <mergeCell ref="B27:E27"/>
    <mergeCell ref="B36:E36"/>
    <mergeCell ref="B45:E45"/>
  </mergeCells>
  <conditionalFormatting sqref="C25">
    <cfRule type="expression" priority="2" aboveAverage="0" equalAverage="0" bottom="0" percent="0" rank="0" text="" dxfId="0">
      <formula>LEFT(C25,2)="OK"</formula>
    </cfRule>
    <cfRule type="expression" priority="3" aboveAverage="0" equalAverage="0" bottom="0" percent="0" rank="0" text="" dxfId="1">
      <formula>LEFT(C25,2)="RE"</formula>
    </cfRule>
  </conditionalFormatting>
  <conditionalFormatting sqref="C42">
    <cfRule type="expression" priority="4" aboveAverage="0" equalAverage="0" bottom="0" percent="0" rank="0" text="" dxfId="0">
      <formula>LEFT(C42,2)="OK"</formula>
    </cfRule>
    <cfRule type="expression" priority="5" aboveAverage="0" equalAverage="0" bottom="0" percent="0" rank="0" text="" dxfId="1">
      <formula>LEFT(C42,2)="EX"</formula>
    </cfRule>
  </conditionalFormatting>
  <conditionalFormatting sqref="C50">
    <cfRule type="expression" priority="6" aboveAverage="0" equalAverage="0" bottom="0" percent="0" rank="0" text="" dxfId="0">
      <formula>LEFT(C50,2)="OK"</formula>
    </cfRule>
    <cfRule type="expression" priority="7" aboveAverage="0" equalAverage="0" bottom="0" percent="0" rank="0" text="" dxfId="1">
      <formula>LEFT(C50,2)="BE"</formula>
    </cfRule>
    <cfRule type="expression" priority="8" aboveAverage="0" equalAverage="0" bottom="0" percent="0" rank="0" text="" dxfId="1">
      <formula>LEFT(C50,3)="ABO"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7" min="5" style="0" width="3"/>
  </cols>
  <sheetData>
    <row r="2" customFormat="false" ht="27.75" hidden="false" customHeight="true" outlineLevel="0" collapsed="false">
      <c r="B2" s="1" t="s">
        <v>169</v>
      </c>
      <c r="C2" s="1"/>
      <c r="D2" s="1"/>
    </row>
    <row r="3" customFormat="false" ht="15" hidden="false" customHeight="true" outlineLevel="0" collapsed="false">
      <c r="B3" s="26" t="s">
        <v>170</v>
      </c>
      <c r="C3" s="26"/>
      <c r="D3" s="26"/>
    </row>
    <row r="5" customFormat="false" ht="15" hidden="false" customHeight="false" outlineLevel="0" collapsed="false">
      <c r="B5" s="8" t="s">
        <v>171</v>
      </c>
      <c r="C5" s="8"/>
      <c r="D5" s="8"/>
    </row>
    <row r="6" customFormat="false" ht="15" hidden="false" customHeight="false" outlineLevel="0" collapsed="false">
      <c r="B6" s="3" t="s">
        <v>172</v>
      </c>
      <c r="C6" s="21" t="str">
        <f aca="false">Inputs!$C$5&amp;" sft  /  "&amp;ROUND(Inputs!$C$6,0)&amp;" sqm"</f>
        <v>30000 sft  /  2787 sqm</v>
      </c>
    </row>
    <row r="7" customFormat="false" ht="15" hidden="false" customHeight="false" outlineLevel="0" collapsed="false">
      <c r="B7" s="3" t="s">
        <v>27</v>
      </c>
      <c r="C7" s="21" t="str">
        <f aca="false">Inputs!$C$7</f>
        <v>Rectangular</v>
      </c>
    </row>
    <row r="8" customFormat="false" ht="15" hidden="false" customHeight="false" outlineLevel="0" collapsed="false">
      <c r="B8" s="3" t="s">
        <v>173</v>
      </c>
      <c r="C8" s="22" t="n">
        <f aca="false">Inputs!$C$15</f>
        <v>3.25</v>
      </c>
    </row>
    <row r="9" customFormat="false" ht="15" hidden="false" customHeight="false" outlineLevel="0" collapsed="false">
      <c r="B9" s="3" t="s">
        <v>174</v>
      </c>
      <c r="C9" s="23" t="n">
        <f aca="false">'Height &amp; FAR Check'!$C$15</f>
        <v>97500</v>
      </c>
    </row>
    <row r="11" customFormat="false" ht="15" hidden="false" customHeight="false" outlineLevel="0" collapsed="false">
      <c r="B11" s="8" t="s">
        <v>175</v>
      </c>
      <c r="C11" s="8"/>
      <c r="D11" s="8"/>
    </row>
    <row r="12" customFormat="false" ht="15" hidden="false" customHeight="false" outlineLevel="0" collapsed="false">
      <c r="B12" s="3" t="s">
        <v>176</v>
      </c>
      <c r="C12" s="21" t="str">
        <f aca="false">ROUND('Setback Calc'!$E$27/3.28084,2)&amp;" / "&amp;ROUND('Setback Calc'!$E$28/3.28084,2)&amp;" / "&amp;ROUND('Setback Calc'!$E$29/3.28084,2)</f>
        <v>9 / 9 / 9</v>
      </c>
    </row>
    <row r="13" customFormat="false" ht="15" hidden="false" customHeight="false" outlineLevel="0" collapsed="false">
      <c r="B13" s="3" t="s">
        <v>177</v>
      </c>
      <c r="C13" s="23" t="n">
        <f aca="false">'Setback Calc'!$C$36</f>
        <v>12818.2151982144</v>
      </c>
    </row>
    <row r="14" customFormat="false" ht="15" hidden="false" customHeight="false" outlineLevel="0" collapsed="false">
      <c r="B14" s="27" t="s">
        <v>103</v>
      </c>
      <c r="C14" s="30" t="str">
        <f aca="false">'Setback Calc'!$C$39</f>
        <v>OK - within limit</v>
      </c>
    </row>
    <row r="16" customFormat="false" ht="15" hidden="false" customHeight="false" outlineLevel="0" collapsed="false">
      <c r="B16" s="8" t="s">
        <v>178</v>
      </c>
      <c r="C16" s="8"/>
      <c r="D16" s="8"/>
    </row>
    <row r="17" customFormat="false" ht="15" hidden="false" customHeight="false" outlineLevel="0" collapsed="false">
      <c r="B17" s="3" t="s">
        <v>179</v>
      </c>
      <c r="C17" s="22" t="n">
        <f aca="false">'Height &amp; FAR Check'!$C$7</f>
        <v>31.5</v>
      </c>
    </row>
    <row r="18" customFormat="false" ht="15" hidden="false" customHeight="false" outlineLevel="0" collapsed="false">
      <c r="B18" s="3" t="s">
        <v>180</v>
      </c>
      <c r="C18" s="22" t="n">
        <f aca="false">'Height &amp; FAR Check'!$C$8</f>
        <v>24.7</v>
      </c>
    </row>
    <row r="19" customFormat="false" ht="15" hidden="false" customHeight="false" outlineLevel="0" collapsed="false">
      <c r="B19" s="27" t="s">
        <v>112</v>
      </c>
      <c r="C19" s="30" t="str">
        <f aca="false">'Height &amp; FAR Check'!$C$9</f>
        <v>OK - within height rule</v>
      </c>
    </row>
    <row r="20" customFormat="false" ht="15" hidden="false" customHeight="false" outlineLevel="0" collapsed="false">
      <c r="B20" s="3" t="s">
        <v>181</v>
      </c>
      <c r="C20" s="23" t="n">
        <f aca="false">'Height &amp; FAR Check'!$C$18</f>
        <v>7</v>
      </c>
    </row>
    <row r="21" customFormat="false" ht="15" hidden="false" customHeight="false" outlineLevel="0" collapsed="false">
      <c r="B21" s="3" t="s">
        <v>182</v>
      </c>
      <c r="C21" s="23" t="n">
        <f aca="false">Inputs!$C$17</f>
        <v>7</v>
      </c>
    </row>
    <row r="22" customFormat="false" ht="15" hidden="false" customHeight="false" outlineLevel="0" collapsed="false">
      <c r="B22" s="27" t="s">
        <v>123</v>
      </c>
      <c r="C22" s="30" t="str">
        <f aca="false">'Height &amp; FAR Check'!$C$20</f>
        <v>OK - target achievable</v>
      </c>
    </row>
    <row r="24" customFormat="false" ht="15" hidden="false" customHeight="false" outlineLevel="0" collapsed="false">
      <c r="B24" s="8" t="s">
        <v>183</v>
      </c>
      <c r="C24" s="8"/>
      <c r="D24" s="8"/>
    </row>
    <row r="25" customFormat="false" ht="15" hidden="false" customHeight="false" outlineLevel="0" collapsed="false">
      <c r="B25" s="3" t="s">
        <v>139</v>
      </c>
      <c r="C25" s="23" t="n">
        <f aca="false">'Hotel Program'!$C$17</f>
        <v>30</v>
      </c>
    </row>
    <row r="26" customFormat="false" ht="15" hidden="false" customHeight="false" outlineLevel="0" collapsed="false">
      <c r="B26" s="3" t="s">
        <v>184</v>
      </c>
      <c r="C26" s="23" t="n">
        <f aca="false">'Hotel Program'!$C$21</f>
        <v>6</v>
      </c>
    </row>
    <row r="27" customFormat="false" ht="15" hidden="false" customHeight="false" outlineLevel="0" collapsed="false">
      <c r="B27" s="3" t="s">
        <v>185</v>
      </c>
      <c r="C27" s="23" t="n">
        <f aca="false">'Hotel Program'!$C$22</f>
        <v>180</v>
      </c>
    </row>
    <row r="28" customFormat="false" ht="15" hidden="false" customHeight="false" outlineLevel="0" collapsed="false">
      <c r="B28" s="3" t="s">
        <v>186</v>
      </c>
      <c r="C28" s="23" t="n">
        <f aca="false">Inputs!$C$22</f>
        <v>60</v>
      </c>
    </row>
    <row r="29" customFormat="false" ht="15" hidden="false" customHeight="false" outlineLevel="0" collapsed="false">
      <c r="B29" s="27" t="s">
        <v>146</v>
      </c>
      <c r="C29" s="30" t="str">
        <f aca="false">'Hotel Program'!$C$25</f>
        <v>OK - target keys achievable</v>
      </c>
    </row>
    <row r="30" customFormat="false" ht="15" hidden="false" customHeight="false" outlineLevel="0" collapsed="false">
      <c r="B30" s="3" t="s">
        <v>151</v>
      </c>
      <c r="C30" s="23" t="n">
        <f aca="false">'Hotel Program'!$C$31</f>
        <v>2800</v>
      </c>
    </row>
    <row r="31" customFormat="false" ht="15" hidden="false" customHeight="false" outlineLevel="0" collapsed="false">
      <c r="B31" s="3" t="s">
        <v>152</v>
      </c>
      <c r="C31" s="23" t="n">
        <f aca="false">'Hotel Program'!$C$32</f>
        <v>2200</v>
      </c>
    </row>
    <row r="32" customFormat="false" ht="15" hidden="false" customHeight="false" outlineLevel="0" collapsed="false">
      <c r="B32" s="3" t="s">
        <v>187</v>
      </c>
      <c r="C32" s="23" t="n">
        <f aca="false">'Hotel Program'!$C$37</f>
        <v>23269.0191176471</v>
      </c>
    </row>
    <row r="33" customFormat="false" ht="15" hidden="false" customHeight="false" outlineLevel="0" collapsed="false">
      <c r="B33" s="3" t="s">
        <v>188</v>
      </c>
      <c r="C33" s="23" t="n">
        <f aca="false">'Hotel Program'!$C$40</f>
        <v>26069.0191176471</v>
      </c>
    </row>
    <row r="34" customFormat="false" ht="15" hidden="false" customHeight="false" outlineLevel="0" collapsed="false">
      <c r="B34" s="27" t="s">
        <v>160</v>
      </c>
      <c r="C34" s="30" t="str">
        <f aca="false">'Hotel Program'!$C$42</f>
        <v>OK - within FAR</v>
      </c>
    </row>
    <row r="36" customFormat="false" ht="15" hidden="false" customHeight="false" outlineLevel="0" collapsed="false">
      <c r="B36" s="8" t="s">
        <v>189</v>
      </c>
      <c r="C36" s="8"/>
      <c r="D36" s="8"/>
    </row>
    <row r="37" customFormat="false" ht="15" hidden="false" customHeight="false" outlineLevel="0" collapsed="false">
      <c r="B37" s="3" t="s">
        <v>164</v>
      </c>
      <c r="C37" s="32" t="n">
        <f aca="false">'Hotel Program'!$C$9</f>
        <v>387.816985294118</v>
      </c>
    </row>
    <row r="38" customFormat="false" ht="15" hidden="false" customHeight="false" outlineLevel="0" collapsed="false">
      <c r="B38" s="3" t="s">
        <v>190</v>
      </c>
      <c r="C38" s="32" t="n">
        <f aca="false">'Hotel Program'!$C$46</f>
        <v>471.150318627451</v>
      </c>
    </row>
    <row r="39" customFormat="false" ht="15" hidden="false" customHeight="false" outlineLevel="0" collapsed="false">
      <c r="B39" s="27" t="s">
        <v>191</v>
      </c>
      <c r="C39" s="30" t="str">
        <f aca="false">'Hotel Program'!$C$50</f>
        <v>OK - within target band</v>
      </c>
    </row>
    <row r="41" customFormat="false" ht="15" hidden="false" customHeight="false" outlineLevel="0" collapsed="false">
      <c r="B41" s="8" t="s">
        <v>192</v>
      </c>
      <c r="C41" s="8"/>
      <c r="D41" s="8"/>
    </row>
    <row r="42" customFormat="false" ht="24" hidden="false" customHeight="true" outlineLevel="0" collapsed="false">
      <c r="B42" s="27" t="s">
        <v>193</v>
      </c>
      <c r="C42" s="35" t="str">
        <f aca="false">IF(COUNTIF(C14,"EX*")+COUNTIF(C19,"EX*")+COUNTIF(C22,"RE*")+COUNTIF(C29,"RE*")+COUNTIF(C34,"EX*")+COUNTIF(C39,"BE*")+COUNTIF(C39,"ABO*")=0,"GO - scheme meets NBC-baseline checks (verify local DCR)","REVIEW REQUIRED - one or more checks fail, see flags above")</f>
        <v>GO - scheme meets NBC-baseline checks (verify local DCR)</v>
      </c>
    </row>
    <row r="44" customFormat="false" ht="39.75" hidden="false" customHeight="true" outlineLevel="0" collapsed="false">
      <c r="B44" s="26" t="s">
        <v>194</v>
      </c>
      <c r="C44" s="26"/>
      <c r="D44" s="26"/>
    </row>
  </sheetData>
  <mergeCells count="9">
    <mergeCell ref="B2:D2"/>
    <mergeCell ref="B3:D3"/>
    <mergeCell ref="B5:D5"/>
    <mergeCell ref="B11:D11"/>
    <mergeCell ref="B16:D16"/>
    <mergeCell ref="B24:D24"/>
    <mergeCell ref="B36:D36"/>
    <mergeCell ref="B41:D41"/>
    <mergeCell ref="B44:D44"/>
  </mergeCells>
  <conditionalFormatting sqref="C14">
    <cfRule type="expression" priority="2" aboveAverage="0" equalAverage="0" bottom="0" percent="0" rank="0" text="" dxfId="0">
      <formula>LEFT(C14,2)="OK"</formula>
    </cfRule>
    <cfRule type="expression" priority="3" aboveAverage="0" equalAverage="0" bottom="0" percent="0" rank="0" text="" dxfId="1">
      <formula>LEFT(C14,2)="EX"</formula>
    </cfRule>
  </conditionalFormatting>
  <conditionalFormatting sqref="C19">
    <cfRule type="expression" priority="4" aboveAverage="0" equalAverage="0" bottom="0" percent="0" rank="0" text="" dxfId="0">
      <formula>LEFT(C19,2)="OK"</formula>
    </cfRule>
    <cfRule type="expression" priority="5" aboveAverage="0" equalAverage="0" bottom="0" percent="0" rank="0" text="" dxfId="1">
      <formula>LEFT(C19,2)="EX"</formula>
    </cfRule>
  </conditionalFormatting>
  <conditionalFormatting sqref="C22">
    <cfRule type="expression" priority="6" aboveAverage="0" equalAverage="0" bottom="0" percent="0" rank="0" text="" dxfId="0">
      <formula>LEFT(C22,2)="OK"</formula>
    </cfRule>
    <cfRule type="expression" priority="7" aboveAverage="0" equalAverage="0" bottom="0" percent="0" rank="0" text="" dxfId="1">
      <formula>LEFT(C22,2)="RE"</formula>
    </cfRule>
  </conditionalFormatting>
  <conditionalFormatting sqref="C29">
    <cfRule type="expression" priority="8" aboveAverage="0" equalAverage="0" bottom="0" percent="0" rank="0" text="" dxfId="0">
      <formula>LEFT(C29,2)="OK"</formula>
    </cfRule>
    <cfRule type="expression" priority="9" aboveAverage="0" equalAverage="0" bottom="0" percent="0" rank="0" text="" dxfId="1">
      <formula>LEFT(C29,2)="RE"</formula>
    </cfRule>
  </conditionalFormatting>
  <conditionalFormatting sqref="C34">
    <cfRule type="expression" priority="10" aboveAverage="0" equalAverage="0" bottom="0" percent="0" rank="0" text="" dxfId="0">
      <formula>LEFT(C34,2)="OK"</formula>
    </cfRule>
    <cfRule type="expression" priority="11" aboveAverage="0" equalAverage="0" bottom="0" percent="0" rank="0" text="" dxfId="1">
      <formula>LEFT(C34,2)="EX"</formula>
    </cfRule>
  </conditionalFormatting>
  <conditionalFormatting sqref="C39">
    <cfRule type="expression" priority="12" aboveAverage="0" equalAverage="0" bottom="0" percent="0" rank="0" text="" dxfId="0">
      <formula>LEFT(C39,2)="OK"</formula>
    </cfRule>
    <cfRule type="expression" priority="13" aboveAverage="0" equalAverage="0" bottom="0" percent="0" rank="0" text="" dxfId="1">
      <formula>LEFT(C39,2)="BE"</formula>
    </cfRule>
    <cfRule type="expression" priority="14" aboveAverage="0" equalAverage="0" bottom="0" percent="0" rank="0" text="" dxfId="1">
      <formula>LEFT(C39,3)="ABO"</formula>
    </cfRule>
  </conditionalFormatting>
  <conditionalFormatting sqref="C42">
    <cfRule type="expression" priority="15" aboveAverage="0" equalAverage="0" bottom="0" percent="0" rank="0" text="" dxfId="0">
      <formula>LEFT(C42,2)="GO"</formula>
    </cfRule>
    <cfRule type="expression" priority="16" aboveAverage="0" equalAverage="0" bottom="0" percent="0" rank="0" text="" dxfId="1">
      <formula>LEFT(C42,2)="RE"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2026-07-07T10:23:39Z</dcterms:created>
  <dc:creator>openpyxl</dc:creator>
  <dc:description/>
  <dc:language>en-US</dc:language>
  <cp:lastModifiedBy/>
  <dcterms:modified xsi:type="dcterms:W3CDTF">2026-07-07T10:23:39Z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